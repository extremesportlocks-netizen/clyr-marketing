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ve1 Pricing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D1B2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E2E7"/>
      </left>
      <right style="thin">
        <color rgb="00DDE2E7"/>
      </right>
      <top style="thin">
        <color rgb="00DDE2E7"/>
      </top>
      <bottom style="thin">
        <color rgb="00DD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14" customWidth="1" min="4" max="4"/>
    <col width="36" customWidth="1" min="12" max="12"/>
  </cols>
  <sheetData>
    <row r="1">
      <c r="A1" s="1" t="inlineStr">
        <is>
          <t>Product</t>
        </is>
      </c>
      <c r="B1" s="1" t="inlineStr">
        <is>
          <t>Pharmacy SKU</t>
        </is>
      </c>
      <c r="C1" s="1" t="inlineStr">
        <is>
          <t>Package</t>
        </is>
      </c>
      <c r="D1" s="1" t="inlineStr">
        <is>
          <t>Wholesale ($)</t>
        </is>
      </c>
      <c r="E1" s="1" t="inlineStr">
        <is>
          <t>MDI ($)</t>
        </is>
      </c>
      <c r="F1" s="1" t="inlineStr">
        <is>
          <t>Ship ($)</t>
        </is>
      </c>
      <c r="G1" s="1" t="inlineStr">
        <is>
          <t>Stripe fee</t>
        </is>
      </c>
      <c r="H1" s="1" t="inlineStr">
        <is>
          <t>Total COGS</t>
        </is>
      </c>
      <c r="I1" s="1" t="inlineStr">
        <is>
          <t>Target margin</t>
        </is>
      </c>
      <c r="J1" s="1" t="inlineStr">
        <is>
          <t>Suggested retail/mo</t>
        </is>
      </c>
      <c r="K1" s="1" t="inlineStr">
        <is>
          <t>Competitor anchor</t>
        </is>
      </c>
      <c r="L1" s="1" t="inlineStr">
        <is>
          <t>Notes</t>
        </is>
      </c>
    </row>
    <row r="2">
      <c r="A2" s="2" t="inlineStr">
        <is>
          <t>Injectable Niagen</t>
        </is>
      </c>
      <c r="B2" s="2" t="inlineStr">
        <is>
          <t>Niagen 100mg/ml 5ml Olympia</t>
        </is>
      </c>
      <c r="C2" s="2" t="inlineStr">
        <is>
          <t>5ml vial</t>
        </is>
      </c>
      <c r="D2" s="3" t="inlineStr"/>
      <c r="E2" s="2" t="n">
        <v>25</v>
      </c>
      <c r="F2" s="2" t="n">
        <v>12</v>
      </c>
      <c r="G2" s="2">
        <f>IF(D2="","",D2*0.029+0.3)</f>
        <v/>
      </c>
      <c r="H2" s="2">
        <f>IF(D2="","",D2+E2+F2+G2)</f>
        <v/>
      </c>
      <c r="I2" s="2" t="n">
        <v>0.65</v>
      </c>
      <c r="J2" s="2">
        <f>IF(H2="","",ROUND(H2/(1-I2),0))</f>
        <v/>
      </c>
      <c r="K2" s="2" t="inlineStr">
        <is>
          <t>Tru Niagen oral ~$50-80/mo; injectable premium</t>
        </is>
      </c>
      <c r="L2" s="2" t="inlineStr">
        <is>
          <t>Mirror NAD+ tier structure once wholesale filled</t>
        </is>
      </c>
    </row>
    <row r="3">
      <c r="A3" s="2" t="inlineStr">
        <is>
          <t>NAD+ Injections</t>
        </is>
      </c>
      <c r="B3" s="2" t="inlineStr">
        <is>
          <t>NAD+ 100mg/ml 10ml Olympia</t>
        </is>
      </c>
      <c r="C3" s="2" t="inlineStr">
        <is>
          <t>10ml vial</t>
        </is>
      </c>
      <c r="D3" s="3" t="inlineStr"/>
      <c r="E3" s="2" t="n">
        <v>25</v>
      </c>
      <c r="F3" s="2" t="n">
        <v>12</v>
      </c>
      <c r="G3" s="2">
        <f>IF(D3="","",D3*0.029+0.3)</f>
        <v/>
      </c>
      <c r="H3" s="2">
        <f>IF(D3="","",D3+E3+F3+G3)</f>
        <v/>
      </c>
      <c r="I3" s="2" t="n">
        <v>0.65</v>
      </c>
      <c r="J3" s="2">
        <f>IF(H3="","",ROUND(H3/(1-I3),0))</f>
        <v/>
      </c>
      <c r="K3" s="2" t="inlineStr">
        <is>
          <t>IV clinics $300-600</t>
        </is>
      </c>
      <c r="L3" s="2" t="inlineStr">
        <is>
          <t>LIVE reference</t>
        </is>
      </c>
    </row>
    <row r="4">
      <c r="A4" s="2" t="inlineStr">
        <is>
          <t>CLYR Tri Gel</t>
        </is>
      </c>
      <c r="B4" s="2" t="inlineStr">
        <is>
          <t>Custom: Clinda 1.2%/Ada 0.15%/BPO 3.1%/Nia 4%</t>
        </is>
      </c>
      <c r="C4" s="2" t="inlineStr">
        <is>
          <t>50g airless pump</t>
        </is>
      </c>
      <c r="D4" s="3" t="inlineStr"/>
      <c r="E4" s="2" t="n">
        <v>25</v>
      </c>
      <c r="F4" s="2" t="n">
        <v>8</v>
      </c>
      <c r="G4" s="2">
        <f>IF(D4="","",D4*0.029+0.3)</f>
        <v/>
      </c>
      <c r="H4" s="2">
        <f>IF(D4="","",D4+E4+F4+G4)</f>
        <v/>
      </c>
      <c r="I4" s="2" t="n">
        <v>0.6</v>
      </c>
      <c r="J4" s="2">
        <f>IF(H4="","",ROUND(H4/(1-I4),0))</f>
        <v/>
      </c>
      <c r="K4" s="2" t="inlineStr">
        <is>
          <t>Cabtreo branded ~$300+ cash</t>
        </is>
      </c>
      <c r="L4" s="2" t="inlineStr">
        <is>
          <t>Proprietary 503A — niacinamide differentiator</t>
        </is>
      </c>
    </row>
    <row r="5">
      <c r="A5" s="2" t="inlineStr">
        <is>
          <t>CLYR Hair Spray (Men)</t>
        </is>
      </c>
      <c r="B5" s="2" t="inlineStr">
        <is>
          <t>Minox 7%/Tret 0.025%/Fluoc 0.025%/Fin 0.2%</t>
        </is>
      </c>
      <c r="C5" s="2" t="inlineStr">
        <is>
          <t>60ml spray</t>
        </is>
      </c>
      <c r="D5" s="3" t="inlineStr"/>
      <c r="E5" s="2" t="n">
        <v>25</v>
      </c>
      <c r="F5" s="2" t="n">
        <v>8</v>
      </c>
      <c r="G5" s="2">
        <f>IF(D5="","",D5*0.029+0.3)</f>
        <v/>
      </c>
      <c r="H5" s="2">
        <f>IF(D5="","",D5+E5+F5+G5)</f>
        <v/>
      </c>
      <c r="I5" s="2" t="n">
        <v>0.6</v>
      </c>
      <c r="J5" s="2">
        <f>IF(H5="","",ROUND(H5/(1-I5),0))</f>
        <v/>
      </c>
      <c r="K5" s="2" t="inlineStr">
        <is>
          <t>GoodLife 3-in-1 $45/mo</t>
        </is>
      </c>
      <c r="L5" s="2" t="inlineStr">
        <is>
          <t>Pharmacy row 191</t>
        </is>
      </c>
    </row>
    <row r="6">
      <c r="A6" s="2" t="inlineStr">
        <is>
          <t>CLYR Hair Spray (Women)</t>
        </is>
      </c>
      <c r="B6" s="2" t="inlineStr">
        <is>
          <t>Minox 7%/Tret 0.025%/Fluoc/Biotin/Melatonin</t>
        </is>
      </c>
      <c r="C6" s="2" t="inlineStr">
        <is>
          <t>60ml spray</t>
        </is>
      </c>
      <c r="D6" s="3" t="inlineStr"/>
      <c r="E6" s="2" t="n">
        <v>25</v>
      </c>
      <c r="F6" s="2" t="n">
        <v>8</v>
      </c>
      <c r="G6" s="2">
        <f>IF(D6="","",D6*0.029+0.3)</f>
        <v/>
      </c>
      <c r="H6" s="2">
        <f>IF(D6="","",D6+E6+F6+G6)</f>
        <v/>
      </c>
      <c r="I6" s="2" t="n">
        <v>0.6</v>
      </c>
      <c r="J6" s="2">
        <f>IF(H6="","",ROUND(H6/(1-I6),0))</f>
        <v/>
      </c>
      <c r="K6" s="2" t="inlineStr">
        <is>
          <t>Hims/Hers topical $30-80</t>
        </is>
      </c>
      <c r="L6" s="2" t="inlineStr">
        <is>
          <t>Pharmacy row 190 — no finasteride</t>
        </is>
      </c>
    </row>
    <row r="7">
      <c r="A7" s="2" t="inlineStr">
        <is>
          <t>Hair Quad 30ml</t>
        </is>
      </c>
      <c r="B7" s="2" t="inlineStr">
        <is>
          <t>Minox 5%/Fin 0.3%/Latanoprost/Ketoconazole</t>
        </is>
      </c>
      <c r="C7" s="2" t="inlineStr">
        <is>
          <t>30ml spray</t>
        </is>
      </c>
      <c r="D7" s="3" t="inlineStr"/>
      <c r="E7" s="2" t="n">
        <v>25</v>
      </c>
      <c r="F7" s="2" t="n">
        <v>8</v>
      </c>
      <c r="G7" s="2">
        <f>IF(D7="","",D7*0.029+0.3)</f>
        <v/>
      </c>
      <c r="H7" s="2">
        <f>IF(D7="","",D7+E7+F7+G7)</f>
        <v/>
      </c>
      <c r="I7" s="2" t="n">
        <v>0.6</v>
      </c>
      <c r="J7" s="2">
        <f>IF(H7="","",ROUND(H7/(1-I7),0))</f>
        <v/>
      </c>
      <c r="K7" s="2" t="inlineStr">
        <is>
          <t>Keeps/Hims combos</t>
        </is>
      </c>
      <c r="L7" s="2" t="inlineStr">
        <is>
          <t>Pharmacy row 192 — lighter bottle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CLYR Pricing Framework — Wave 1</t>
        </is>
      </c>
    </row>
    <row r="3">
      <c r="A3" t="inlineStr">
        <is>
          <t>Source: Product List (2).xlsx — Olympia/Dispense Pro catalog (no wholesale column)</t>
        </is>
      </c>
    </row>
    <row r="4">
      <c r="A4" t="inlineStr">
        <is>
          <t>MDI encounter: $25 assumed (per CLYR Industry Audit)</t>
        </is>
      </c>
    </row>
    <row r="5">
      <c r="A5" t="inlineStr">
        <is>
          <t>Fill yellow Wholesale cells with your actual pharmacy cost</t>
        </is>
      </c>
    </row>
    <row r="6">
      <c r="A6" t="inlineStr">
        <is>
          <t>Suggested retail = Total COGS / (1 - target margin)</t>
        </is>
      </c>
    </row>
    <row r="7">
      <c r="A7" t="inlineStr">
        <is>
          <t>Do NOT publish retail until wholesale cells are filled and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2026-06-19T22:28:39Z</dcterms:created>
  <dcterms:modified xsi:type="dcterms:W3CDTF">2026-06-19T22:28:39Z</dcterms:modified>
</cp:coreProperties>
</file>